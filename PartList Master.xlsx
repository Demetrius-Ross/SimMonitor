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00802830\Desktop\"/>
    </mc:Choice>
  </mc:AlternateContent>
  <xr:revisionPtr revIDLastSave="0" documentId="13_ncr:1_{76152BA7-C9BB-4586-BE29-2C6D7F63D80B}" xr6:coauthVersionLast="47" xr6:coauthVersionMax="47" xr10:uidLastSave="{00000000-0000-0000-0000-000000000000}"/>
  <bookViews>
    <workbookView xWindow="38280" yWindow="-120" windowWidth="16440" windowHeight="29040" activeTab="1" xr2:uid="{D0A16226-E303-4C93-BBD4-5B362544611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2" l="1"/>
  <c r="D16" i="2"/>
  <c r="E27" i="1"/>
  <c r="E23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<sst xmlns="http://schemas.openxmlformats.org/spreadsheetml/2006/main" count="101" uniqueCount="94">
  <si>
    <t>Part</t>
  </si>
  <si>
    <t>DigiKey Name</t>
  </si>
  <si>
    <t>QTY</t>
  </si>
  <si>
    <t>Total Price of Item</t>
  </si>
  <si>
    <t>Price Per Component</t>
  </si>
  <si>
    <t>Link</t>
  </si>
  <si>
    <t>Notes</t>
  </si>
  <si>
    <t>CRGH1206J4K7</t>
  </si>
  <si>
    <t>CR1206-FX-1002ELF</t>
  </si>
  <si>
    <t>DRR3016</t>
  </si>
  <si>
    <t>160-1365-5-ND</t>
  </si>
  <si>
    <t>S3B-EH</t>
  </si>
  <si>
    <t>SS34B-HF</t>
  </si>
  <si>
    <t>VPDD302W102K1GV001E</t>
  </si>
  <si>
    <t>1568-16766-ND</t>
  </si>
  <si>
    <t>455-2935-ND</t>
  </si>
  <si>
    <t>CRGH1206J4K7 TE Connectivity Passive Product | Resistors | DigiKey</t>
  </si>
  <si>
    <t>CR1206-FX-1002ELF Bourns Inc. | Resistors | DigiKey</t>
  </si>
  <si>
    <t>DRR 3016 Knitter-Switch | Switches | DigiKey</t>
  </si>
  <si>
    <t>LTV-846S Lite-On Inc. | Isolators | DigiKey</t>
  </si>
  <si>
    <t>S3B-EH JST Sales America Inc. | Connectors, Interconnects | DigiKey</t>
  </si>
  <si>
    <t>SS34B-HF Comchip Technology | Discrete Semiconductor Products | DigiKey</t>
  </si>
  <si>
    <t>VPDD302W102K1GV001E Johanson Dielectrics Inc. | Capacitors | DigiKey</t>
  </si>
  <si>
    <t>16766 SparkFun Electronics | Connectors, Interconnects | DigiKey</t>
  </si>
  <si>
    <t>03HR-4K-P-N JST Sales America Inc. | Connectors, Interconnects | DigiKey</t>
  </si>
  <si>
    <t>4.7 kOhms Chip Resistor</t>
  </si>
  <si>
    <t>10 kOhm Chip Resistor</t>
  </si>
  <si>
    <t>Rotary Hex Switch</t>
  </si>
  <si>
    <t>Optocoupler</t>
  </si>
  <si>
    <t>JST Connector Header</t>
  </si>
  <si>
    <t>Schottky Diode</t>
  </si>
  <si>
    <t>1000 pF (3kV) Ceramic Cap</t>
  </si>
  <si>
    <t>QWIIC Connector Header</t>
  </si>
  <si>
    <t>JST Female Socket</t>
  </si>
  <si>
    <t>47 uF (100V) Electrolytic Cap</t>
  </si>
  <si>
    <t>UHE2A470MPD</t>
  </si>
  <si>
    <t>UHE2A470MPD Nichicon | Capacitors | DigiKey</t>
  </si>
  <si>
    <t>A-DF 09 A/KG-T4S</t>
  </si>
  <si>
    <t>D-Sub Female Through Hole</t>
  </si>
  <si>
    <t>A-DF 09 A/KG-T4S Assmann WSW Components | Connectors, Interconnects | DigiKey</t>
  </si>
  <si>
    <t>3 Pos Male Block Header</t>
  </si>
  <si>
    <t>1757255 Phoenix Contact | Connectors, Interconnects | DigiKey</t>
  </si>
  <si>
    <t>REC5A-2405SW/H2</t>
  </si>
  <si>
    <t>ISO DC-DC Converter 5V</t>
  </si>
  <si>
    <t>RXEF110-ND</t>
  </si>
  <si>
    <t>PTC Reset Fuse 1.1 A</t>
  </si>
  <si>
    <t>RXEF110 Littelfuse Inc. | Circuit Protection | DigiKey</t>
  </si>
  <si>
    <t>REC5A-2405SW/H2 Recom Power | Power Supplies - Board Mount | DigiKey</t>
  </si>
  <si>
    <t>RXEF050-2HFCT-ND</t>
  </si>
  <si>
    <t>PTC Reset Fuse 500 mA</t>
  </si>
  <si>
    <t>RXEF050-2 Littelfuse Inc. | Circuit Protection | DigiKey</t>
  </si>
  <si>
    <t>ESP32-DEVKITC-32E</t>
  </si>
  <si>
    <t>ESP32</t>
  </si>
  <si>
    <t>Total Cost of Components</t>
  </si>
  <si>
    <t>ESP32-DEVKITC-32E Espressif Systems | Development Boards, Kits, Programmers | DigiKey</t>
  </si>
  <si>
    <t>Backorder</t>
  </si>
  <si>
    <t>Sim Monitor Board Component List</t>
  </si>
  <si>
    <t>Board Cost                                (PCB Way @ 10 Boards)</t>
  </si>
  <si>
    <t>Total</t>
  </si>
  <si>
    <t>QTY: 1</t>
  </si>
  <si>
    <t>CRG1206F470R</t>
  </si>
  <si>
    <t>CRG1206F470R TE Connectivity Passive Product | Resistors | DigiKey</t>
  </si>
  <si>
    <t>Op Amp</t>
  </si>
  <si>
    <t>TLV272CDR</t>
  </si>
  <si>
    <t>TLV272CDR Texas Instruments | Integrated Circuits (ICs) | DigiKey</t>
  </si>
  <si>
    <t>ERJ-P08J105V</t>
  </si>
  <si>
    <t>1 MOhms ±5% 0.667W, 2/3W Chip Resistor 1206</t>
  </si>
  <si>
    <t>ERJ-P08J105V Panasonic Electronic Components | Resistors | DigiKey</t>
  </si>
  <si>
    <t>470 Ohms ±1% 0.25W, 1/4W Chip Resistor 1206</t>
  </si>
  <si>
    <t>DIODE SCHOTTKY 100V 150MA SOD123</t>
  </si>
  <si>
    <t>BAT46W</t>
  </si>
  <si>
    <t>BAT46W Diotec Semiconductor | Discrete Semiconductor Products | DigiKey</t>
  </si>
  <si>
    <t>ERJ-P08J334V Panasonic Electronic Components | Resistors | DigiKey</t>
  </si>
  <si>
    <t xml:space="preserve">	
330 kOhms ±5% 0.667W, 2/3W Chip Resistor 1206</t>
  </si>
  <si>
    <t>ERJ-P08J334V</t>
  </si>
  <si>
    <t>ECA-1HM100 Panasonic Electronic Components | Capacitors | DigiKey</t>
  </si>
  <si>
    <t>ECA-1HM100</t>
  </si>
  <si>
    <t>10 µF 50 V Aluminum Electrolytic Capacitors Radial</t>
  </si>
  <si>
    <t>10 µF 25 V Aluminum Electrolytic Capacitors Radial</t>
  </si>
  <si>
    <t>860020472003 Würth Elektronik | Capacitors | DigiKey</t>
  </si>
  <si>
    <t>BA7815FP-E2 Rohm Semiconductor | Integrated Circuits (ICs) | DigiKey</t>
  </si>
  <si>
    <t>BA7815FP-E2</t>
  </si>
  <si>
    <t xml:space="preserve">	
Linear Voltage Regulator IC Positive Fixed</t>
  </si>
  <si>
    <t>Total:</t>
  </si>
  <si>
    <t>1757242 Phoenix Contact | Connectors, Interconnects | DigiKey</t>
  </si>
  <si>
    <t xml:space="preserve">2 Position Terminal Block Header, Male Pins, Shrouded </t>
  </si>
  <si>
    <t xml:space="preserve">	
2 Position Terminal Block Plug, Female Sockets</t>
  </si>
  <si>
    <t>1757019 Phoenix Contact | Connectors, Interconnects | DigiKey</t>
  </si>
  <si>
    <t>PCN10-20P-2.54DS(72) Hirose Electric Co Ltd | Connectors, Interconnects | DigiKey</t>
  </si>
  <si>
    <t>PCN13-20S-2.54DSA(71) Hirose Electric Co Ltd | Connectors, Interconnects | DigiKey</t>
  </si>
  <si>
    <t>PCN13-20S-2.54DSA(71)</t>
  </si>
  <si>
    <t>PCN10-20P-2.54DS(72)</t>
  </si>
  <si>
    <t>CONN DIN HDR 20POS</t>
  </si>
  <si>
    <t>CONN DIN RCPT 20POS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</si>
</sst>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2"/>
      <color theme="1"/>
      <name val="Aptos"/>
      <family val="2"/>
    </font>
    <font>
      <sz val="9"/>
      <color rgb="FF222222"/>
      <name val="Arial"/>
      <family val="2"/>
    </font>
    <font>
      <sz val="9"/>
      <color rgb="FF44444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8" fontId="0" fillId="0" borderId="0" xfId="0" applyNumberFormat="1"/>
    <xf numFmtId="8" fontId="0" fillId="3" borderId="0" xfId="0" applyNumberFormat="1" applyFill="1"/>
    <xf numFmtId="0" fontId="3" fillId="4" borderId="0" xfId="0" applyFont="1" applyFill="1"/>
    <xf numFmtId="0" fontId="0" fillId="4" borderId="0" xfId="0" applyFill="1"/>
    <xf numFmtId="0" fontId="0" fillId="0" borderId="1" xfId="0" applyBorder="1"/>
    <xf numFmtId="0" fontId="4" fillId="0" borderId="1" xfId="0" applyFont="1" applyBorder="1"/>
    <xf numFmtId="8" fontId="0" fillId="0" borderId="1" xfId="0" applyNumberFormat="1" applyBorder="1"/>
    <xf numFmtId="0" fontId="2" fillId="0" borderId="1" xfId="1" applyBorder="1"/>
    <xf numFmtId="0" fontId="4" fillId="0" borderId="1" xfId="0" applyFont="1" applyBorder="1" applyAlignment="1">
      <alignment horizontal="left"/>
    </xf>
    <xf numFmtId="6" fontId="0" fillId="0" borderId="1" xfId="0" applyNumberFormat="1" applyBorder="1"/>
    <xf numFmtId="0" fontId="1" fillId="2" borderId="1" xfId="0" applyFont="1" applyFill="1" applyBorder="1"/>
    <xf numFmtId="0" fontId="0" fillId="0" borderId="0" xfId="0" applyAlignment="1">
      <alignment horizontal="left" wrapText="1"/>
    </xf>
    <xf numFmtId="8" fontId="0" fillId="5" borderId="0" xfId="0" applyNumberFormat="1" applyFill="1"/>
    <xf numFmtId="0" fontId="0" fillId="0" borderId="0" xfId="0" applyAlignment="1">
      <alignment horizontal="right"/>
    </xf>
    <xf numFmtId="0" fontId="5" fillId="0" borderId="0" xfId="0" applyFont="1"/>
    <xf numFmtId="0" fontId="2" fillId="0" borderId="0" xfId="1"/>
    <xf numFmtId="0" fontId="1" fillId="6" borderId="1" xfId="0" applyFont="1" applyFill="1" applyBorder="1"/>
    <xf numFmtId="8" fontId="6" fillId="0" borderId="0" xfId="0" applyNumberFormat="1" applyFont="1"/>
    <xf numFmtId="0" fontId="7" fillId="0" borderId="0" xfId="0" applyFont="1"/>
    <xf numFmtId="0" fontId="0" fillId="0" borderId="0" xfId="0" applyAlignment="1">
      <alignment wrapText="1"/>
    </xf>
    <xf numFmtId="8" fontId="6" fillId="7" borderId="2" xfId="0" applyNumberFormat="1" applyFont="1" applyFill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sparkfun-electronics/16766/12340136?s=N4IgTCBcDaIIwFYBsAOAtABQEoBU1yQHYkk0A5AEQAIQBdAXyA" TargetMode="External"/><Relationship Id="rId13" Type="http://schemas.openxmlformats.org/officeDocument/2006/relationships/hyperlink" Target="https://www.digikey.com/en/products/detail/littelfuse-inc/RXEF110/1045810?s=N4IgTCBcDaIEoA0CiAxAjGgDAWgHIBEQBdAXyA" TargetMode="External"/><Relationship Id="rId3" Type="http://schemas.openxmlformats.org/officeDocument/2006/relationships/hyperlink" Target="https://www.digikey.com/en/products/detail/knitter-switch/DRR-3016/15296328?s=N4IgTCBcDaICICUEGYAMBGAbCAugXyA" TargetMode="External"/><Relationship Id="rId7" Type="http://schemas.openxmlformats.org/officeDocument/2006/relationships/hyperlink" Target="https://www.digikey.com/en/products/detail/johanson-dielectrics-inc/VPDD302W102K1GV001E/21283574?s=N4IgTCBcDaIGoAUAiSDMAGMB1AjJg0jgOJzro4CiIAugL5A" TargetMode="External"/><Relationship Id="rId12" Type="http://schemas.openxmlformats.org/officeDocument/2006/relationships/hyperlink" Target="https://www.digikey.com/en/products/detail/phoenix-contact/1757255/260475?s=N4IgTCBcDaIIwHYCsCxKSAugXyA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digikey.com/en/products/detail/bourns-inc/CR1206-FX-1002ELF/2562678?s=N4IgTCBcDaIMICUCMYAMA2AtAMQBqaVVTAFEAZbEAXQF8g" TargetMode="External"/><Relationship Id="rId16" Type="http://schemas.openxmlformats.org/officeDocument/2006/relationships/hyperlink" Target="https://www.digikey.com/en/products/detail/espressif-systems/ESP32-DEVKITC-32E/12091810" TargetMode="External"/><Relationship Id="rId1" Type="http://schemas.openxmlformats.org/officeDocument/2006/relationships/hyperlink" Target="https://www.digikey.com/en/products/detail/te-connectivity-passive-product/CRGH1206J4K7/2385708?s=N4IgTCBcDaIMICUDiAJAjGADANgFIBYBpAdhAF0BfIA" TargetMode="External"/><Relationship Id="rId6" Type="http://schemas.openxmlformats.org/officeDocument/2006/relationships/hyperlink" Target="https://www.digikey.com/en/products/detail/comchip-technology/SS34B-HF/12326213?s=N4IgTCBcDaIMpwMwBYBCBaAEgMRAXQF8g" TargetMode="External"/><Relationship Id="rId11" Type="http://schemas.openxmlformats.org/officeDocument/2006/relationships/hyperlink" Target="https://www.digikey.com/en/products/detail/assmann-wsw-components/A-DF-09-A-KG-T4S/1241802?msockid=0c0f209fa868648435143521a9cb651a" TargetMode="External"/><Relationship Id="rId5" Type="http://schemas.openxmlformats.org/officeDocument/2006/relationships/hyperlink" Target="https://www.digikey.com/en/products/detail/jst-sales-america-inc/S3B-EH/926534?s=N4IgTCBcDaIMoGYBCBaAogCRAXQL5A" TargetMode="External"/><Relationship Id="rId15" Type="http://schemas.openxmlformats.org/officeDocument/2006/relationships/hyperlink" Target="https://www.digikey.com/en/products/detail/littelfuse-inc/RXEF050-2/5016000" TargetMode="External"/><Relationship Id="rId10" Type="http://schemas.openxmlformats.org/officeDocument/2006/relationships/hyperlink" Target="https://www.digikey.com/en/products/detail/nichicon/UHE2A470MPD/589404?msockid=0c0f209fa868648435143521a9cb651a" TargetMode="External"/><Relationship Id="rId4" Type="http://schemas.openxmlformats.org/officeDocument/2006/relationships/hyperlink" Target="https://www.digikey.com/en/products/detail/liteon/LTV-846S/385835?s=N4IgTCBcDaIIwDYAMBaOBmBBWFOByAIiALoC%2BQA" TargetMode="External"/><Relationship Id="rId9" Type="http://schemas.openxmlformats.org/officeDocument/2006/relationships/hyperlink" Target="https://www.digikey.com/en/products/detail/jst-sales-america-inc/03HR-4K-P-N/1555744?s=N4IgTCBcDaICwFYEFowE4DMKByAREAugL5A" TargetMode="External"/><Relationship Id="rId14" Type="http://schemas.openxmlformats.org/officeDocument/2006/relationships/hyperlink" Target="https://www.digikey.com/en/products/detail/recom-power/REC5A-2405SW-H2/6483546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rohm-semiconductor/BA7815FP-E2/2357085" TargetMode="External"/><Relationship Id="rId3" Type="http://schemas.openxmlformats.org/officeDocument/2006/relationships/hyperlink" Target="https://www.digikey.com/en/products/detail/te-connectivity-passive-product/CRG1206F470R/2381011" TargetMode="External"/><Relationship Id="rId7" Type="http://schemas.openxmlformats.org/officeDocument/2006/relationships/hyperlink" Target="https://www.digikey.com/en/products/detail/w%C3%BCrth-elektronik/860020472003/5727057?s=N4IgTCBcDaIOwGYwFoAcqwAZkEZkDkAREAXQF8g" TargetMode="External"/><Relationship Id="rId12" Type="http://schemas.openxmlformats.org/officeDocument/2006/relationships/hyperlink" Target="https://www.digikey.com/en/products/detail/hirose-electric-co-ltd/PCN13-20S-2-54DSA-71/1036454" TargetMode="External"/><Relationship Id="rId2" Type="http://schemas.openxmlformats.org/officeDocument/2006/relationships/hyperlink" Target="https://www.digikey.com/en/products/detail/panasonic-electronic-components/ERJ-P08J105V/525320" TargetMode="External"/><Relationship Id="rId1" Type="http://schemas.openxmlformats.org/officeDocument/2006/relationships/hyperlink" Target="https://www.digikey.com/en/products/detail/texas-instruments/TLV272CDR/1677979" TargetMode="External"/><Relationship Id="rId6" Type="http://schemas.openxmlformats.org/officeDocument/2006/relationships/hyperlink" Target="https://www.digikey.com/en/products/detail/panasonic-electronic-components/ECA-1HM100/245037" TargetMode="External"/><Relationship Id="rId11" Type="http://schemas.openxmlformats.org/officeDocument/2006/relationships/hyperlink" Target="https://www.digikey.com/en/products/detail/hirose-electric-co-ltd/PCN10-20P-2-54DS-72/1036416" TargetMode="External"/><Relationship Id="rId5" Type="http://schemas.openxmlformats.org/officeDocument/2006/relationships/hyperlink" Target="https://www.digikey.com/en/products/detail/panasonic-electronic-components/ERJ-P08J334V/525379" TargetMode="External"/><Relationship Id="rId10" Type="http://schemas.openxmlformats.org/officeDocument/2006/relationships/hyperlink" Target="https://www.digikey.com/en/products/detail/phoenix-contact/1757019/260379" TargetMode="External"/><Relationship Id="rId4" Type="http://schemas.openxmlformats.org/officeDocument/2006/relationships/hyperlink" Target="https://www.digikey.com/en/products/detail/diotec-semiconductor/BAT46W/13156682" TargetMode="External"/><Relationship Id="rId9" Type="http://schemas.openxmlformats.org/officeDocument/2006/relationships/hyperlink" Target="https://www.digikey.com/en/products/detail/phoenix-contact/1757242/2604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11444-53F4-4D01-9E7B-F46A94E481E1}">
  <dimension ref="A1:G27"/>
  <sheetViews>
    <sheetView zoomScaleNormal="100" workbookViewId="0">
      <selection activeCell="F18" sqref="F18"/>
    </sheetView>
  </sheetViews>
  <sheetFormatPr defaultRowHeight="15" x14ac:dyDescent="0.25"/>
  <cols>
    <col min="1" max="1" width="26.42578125" customWidth="1"/>
    <col min="2" max="2" width="22.5703125" bestFit="1" customWidth="1"/>
    <col min="4" max="4" width="20.42578125" bestFit="1" customWidth="1"/>
    <col min="5" max="5" width="17.5703125" bestFit="1" customWidth="1"/>
    <col min="6" max="6" width="81.85546875" bestFit="1" customWidth="1"/>
    <col min="7" max="7" width="10" bestFit="1" customWidth="1"/>
  </cols>
  <sheetData>
    <row r="1" spans="1:7" ht="21" x14ac:dyDescent="0.35">
      <c r="A1" s="3" t="s">
        <v>56</v>
      </c>
      <c r="B1" s="4"/>
    </row>
    <row r="2" spans="1:7" x14ac:dyDescent="0.25">
      <c r="A2" s="11" t="s">
        <v>0</v>
      </c>
      <c r="B2" s="11" t="s">
        <v>1</v>
      </c>
      <c r="C2" s="11" t="s">
        <v>2</v>
      </c>
      <c r="D2" s="11" t="s">
        <v>4</v>
      </c>
      <c r="E2" s="11" t="s">
        <v>3</v>
      </c>
      <c r="F2" s="11" t="s">
        <v>5</v>
      </c>
      <c r="G2" s="11" t="s">
        <v>6</v>
      </c>
    </row>
    <row r="3" spans="1:7" x14ac:dyDescent="0.25">
      <c r="A3" s="5" t="s">
        <v>25</v>
      </c>
      <c r="B3" s="6" t="s">
        <v>7</v>
      </c>
      <c r="C3" s="5">
        <v>8</v>
      </c>
      <c r="D3" s="7">
        <v>0.14000000000000001</v>
      </c>
      <c r="E3" s="7">
        <f>C3*D3</f>
        <v>1.1200000000000001</v>
      </c>
      <c r="F3" s="8" t="s">
        <v>16</v>
      </c>
      <c r="G3" s="5"/>
    </row>
    <row r="4" spans="1:7" x14ac:dyDescent="0.25">
      <c r="A4" s="5" t="s">
        <v>26</v>
      </c>
      <c r="B4" s="6" t="s">
        <v>8</v>
      </c>
      <c r="C4" s="5">
        <v>10</v>
      </c>
      <c r="D4" s="7">
        <v>0.1</v>
      </c>
      <c r="E4" s="7">
        <f t="shared" ref="E4:E18" si="0">C4*D4</f>
        <v>1</v>
      </c>
      <c r="F4" s="8" t="s">
        <v>17</v>
      </c>
      <c r="G4" s="5"/>
    </row>
    <row r="5" spans="1:7" x14ac:dyDescent="0.25">
      <c r="A5" s="5" t="s">
        <v>27</v>
      </c>
      <c r="B5" s="6" t="s">
        <v>9</v>
      </c>
      <c r="C5" s="5">
        <v>1</v>
      </c>
      <c r="D5" s="7">
        <v>3.08</v>
      </c>
      <c r="E5" s="7">
        <f t="shared" si="0"/>
        <v>3.08</v>
      </c>
      <c r="F5" s="8" t="s">
        <v>18</v>
      </c>
      <c r="G5" s="5"/>
    </row>
    <row r="6" spans="1:7" x14ac:dyDescent="0.25">
      <c r="A6" s="5" t="s">
        <v>28</v>
      </c>
      <c r="B6" s="6" t="s">
        <v>10</v>
      </c>
      <c r="C6" s="5">
        <v>1</v>
      </c>
      <c r="D6" s="7">
        <v>0.9</v>
      </c>
      <c r="E6" s="7">
        <f t="shared" si="0"/>
        <v>0.9</v>
      </c>
      <c r="F6" s="8" t="s">
        <v>19</v>
      </c>
      <c r="G6" s="5"/>
    </row>
    <row r="7" spans="1:7" x14ac:dyDescent="0.25">
      <c r="A7" s="5" t="s">
        <v>29</v>
      </c>
      <c r="B7" s="6" t="s">
        <v>11</v>
      </c>
      <c r="C7" s="5">
        <v>1</v>
      </c>
      <c r="D7" s="7">
        <v>0.11</v>
      </c>
      <c r="E7" s="7">
        <f t="shared" si="0"/>
        <v>0.11</v>
      </c>
      <c r="F7" s="8" t="s">
        <v>20</v>
      </c>
      <c r="G7" s="5"/>
    </row>
    <row r="8" spans="1:7" x14ac:dyDescent="0.25">
      <c r="A8" s="5" t="s">
        <v>30</v>
      </c>
      <c r="B8" s="6" t="s">
        <v>12</v>
      </c>
      <c r="C8" s="5">
        <v>1</v>
      </c>
      <c r="D8" s="7">
        <v>0.27</v>
      </c>
      <c r="E8" s="7">
        <f t="shared" si="0"/>
        <v>0.27</v>
      </c>
      <c r="F8" s="8" t="s">
        <v>21</v>
      </c>
      <c r="G8" s="5"/>
    </row>
    <row r="9" spans="1:7" x14ac:dyDescent="0.25">
      <c r="A9" s="5" t="s">
        <v>31</v>
      </c>
      <c r="B9" s="6" t="s">
        <v>13</v>
      </c>
      <c r="C9" s="5">
        <v>1</v>
      </c>
      <c r="D9" s="7">
        <v>0.57999999999999996</v>
      </c>
      <c r="E9" s="7">
        <f t="shared" si="0"/>
        <v>0.57999999999999996</v>
      </c>
      <c r="F9" s="8" t="s">
        <v>22</v>
      </c>
      <c r="G9" s="5"/>
    </row>
    <row r="10" spans="1:7" x14ac:dyDescent="0.25">
      <c r="A10" s="5" t="s">
        <v>32</v>
      </c>
      <c r="B10" s="6" t="s">
        <v>14</v>
      </c>
      <c r="C10" s="5">
        <v>1</v>
      </c>
      <c r="D10" s="7">
        <v>0.75</v>
      </c>
      <c r="E10" s="7">
        <f t="shared" si="0"/>
        <v>0.75</v>
      </c>
      <c r="F10" s="8" t="s">
        <v>23</v>
      </c>
      <c r="G10" s="5"/>
    </row>
    <row r="11" spans="1:7" x14ac:dyDescent="0.25">
      <c r="A11" s="5" t="s">
        <v>33</v>
      </c>
      <c r="B11" s="6" t="s">
        <v>15</v>
      </c>
      <c r="C11" s="5">
        <v>1</v>
      </c>
      <c r="D11" s="7">
        <v>0.18</v>
      </c>
      <c r="E11" s="7">
        <f t="shared" si="0"/>
        <v>0.18</v>
      </c>
      <c r="F11" s="8" t="s">
        <v>24</v>
      </c>
      <c r="G11" s="5"/>
    </row>
    <row r="12" spans="1:7" x14ac:dyDescent="0.25">
      <c r="A12" s="5" t="s">
        <v>34</v>
      </c>
      <c r="B12" s="6" t="s">
        <v>35</v>
      </c>
      <c r="C12" s="5">
        <v>2</v>
      </c>
      <c r="D12" s="7">
        <v>0.56000000000000005</v>
      </c>
      <c r="E12" s="7">
        <f t="shared" si="0"/>
        <v>1.1200000000000001</v>
      </c>
      <c r="F12" s="8" t="s">
        <v>36</v>
      </c>
      <c r="G12" s="5"/>
    </row>
    <row r="13" spans="1:7" x14ac:dyDescent="0.25">
      <c r="A13" s="5" t="s">
        <v>38</v>
      </c>
      <c r="B13" s="6" t="s">
        <v>37</v>
      </c>
      <c r="C13" s="5">
        <v>1</v>
      </c>
      <c r="D13" s="7">
        <v>0.72</v>
      </c>
      <c r="E13" s="7">
        <f t="shared" si="0"/>
        <v>0.72</v>
      </c>
      <c r="F13" s="8" t="s">
        <v>39</v>
      </c>
      <c r="G13" s="5"/>
    </row>
    <row r="14" spans="1:7" x14ac:dyDescent="0.25">
      <c r="A14" s="5" t="s">
        <v>40</v>
      </c>
      <c r="B14" s="9">
        <v>1757255</v>
      </c>
      <c r="C14" s="5">
        <v>1</v>
      </c>
      <c r="D14" s="7">
        <v>1.26</v>
      </c>
      <c r="E14" s="7">
        <f t="shared" si="0"/>
        <v>1.26</v>
      </c>
      <c r="F14" s="8" t="s">
        <v>41</v>
      </c>
      <c r="G14" s="5"/>
    </row>
    <row r="15" spans="1:7" x14ac:dyDescent="0.25">
      <c r="A15" s="5" t="s">
        <v>43</v>
      </c>
      <c r="B15" s="6" t="s">
        <v>42</v>
      </c>
      <c r="C15" s="5">
        <v>1</v>
      </c>
      <c r="D15" s="7">
        <v>14.82</v>
      </c>
      <c r="E15" s="7">
        <f t="shared" si="0"/>
        <v>14.82</v>
      </c>
      <c r="F15" s="8" t="s">
        <v>47</v>
      </c>
      <c r="G15" s="5"/>
    </row>
    <row r="16" spans="1:7" x14ac:dyDescent="0.25">
      <c r="A16" s="5" t="s">
        <v>45</v>
      </c>
      <c r="B16" s="6" t="s">
        <v>44</v>
      </c>
      <c r="C16" s="5">
        <v>1</v>
      </c>
      <c r="D16" s="7">
        <v>0.56000000000000005</v>
      </c>
      <c r="E16" s="7">
        <f t="shared" si="0"/>
        <v>0.56000000000000005</v>
      </c>
      <c r="F16" s="8" t="s">
        <v>46</v>
      </c>
      <c r="G16" s="5" t="s">
        <v>55</v>
      </c>
    </row>
    <row r="17" spans="1:7" x14ac:dyDescent="0.25">
      <c r="A17" s="5" t="s">
        <v>49</v>
      </c>
      <c r="B17" s="6" t="s">
        <v>48</v>
      </c>
      <c r="C17" s="5">
        <v>1</v>
      </c>
      <c r="D17" s="7">
        <v>0.54</v>
      </c>
      <c r="E17" s="7">
        <f t="shared" si="0"/>
        <v>0.54</v>
      </c>
      <c r="F17" s="8" t="s">
        <v>50</v>
      </c>
      <c r="G17" s="5"/>
    </row>
    <row r="18" spans="1:7" x14ac:dyDescent="0.25">
      <c r="A18" s="5" t="s">
        <v>52</v>
      </c>
      <c r="B18" s="6" t="s">
        <v>51</v>
      </c>
      <c r="C18" s="5">
        <v>1</v>
      </c>
      <c r="D18" s="10">
        <v>10</v>
      </c>
      <c r="E18" s="7">
        <f t="shared" si="0"/>
        <v>10</v>
      </c>
      <c r="F18" s="8" t="s">
        <v>54</v>
      </c>
      <c r="G18" s="5"/>
    </row>
    <row r="23" spans="1:7" x14ac:dyDescent="0.25">
      <c r="A23" t="s">
        <v>53</v>
      </c>
      <c r="E23" s="2">
        <f>SUM(E3:E18)</f>
        <v>37.01</v>
      </c>
    </row>
    <row r="25" spans="1:7" ht="30" x14ac:dyDescent="0.25">
      <c r="A25" s="12" t="s">
        <v>57</v>
      </c>
      <c r="C25" s="14" t="s">
        <v>59</v>
      </c>
      <c r="D25" s="1">
        <v>0.65</v>
      </c>
    </row>
    <row r="27" spans="1:7" x14ac:dyDescent="0.25">
      <c r="A27" t="s">
        <v>58</v>
      </c>
      <c r="E27" s="13">
        <f>SUM(D25+E23)</f>
        <v>37.659999999999997</v>
      </c>
    </row>
  </sheetData>
  <hyperlinks>
    <hyperlink ref="F3" r:id="rId1" display="https://www.digikey.com/en/products/detail/te-connectivity-passive-product/CRGH1206J4K7/2385708?s=N4IgTCBcDaIMICUDiAJAjGADANgFIBYBpAdhAF0BfIA" xr:uid="{797B7323-99FD-45B8-AB38-01448218EA7D}"/>
    <hyperlink ref="F4" r:id="rId2" display="https://www.digikey.com/en/products/detail/bourns-inc/CR1206-FX-1002ELF/2562678?s=N4IgTCBcDaIMICUCMYAMA2AtAMQBqaVVTAFEAZbEAXQF8g" xr:uid="{0C285501-24C1-40D4-B404-6EFFCE3D8B9C}"/>
    <hyperlink ref="F5" r:id="rId3" display="https://www.digikey.com/en/products/detail/knitter-switch/DRR-3016/15296328?s=N4IgTCBcDaICICUEGYAMBGAbCAugXyA" xr:uid="{523BF761-8950-40EB-ADD5-51F888C2D1A1}"/>
    <hyperlink ref="F6" r:id="rId4" display="https://www.digikey.com/en/products/detail/liteon/LTV-846S/385835?s=N4IgTCBcDaIIwDYAMBaOBmBBWFOByAIiALoC%2BQA" xr:uid="{30C88247-5B1B-47D7-B5C4-DFDDBD3BC1D4}"/>
    <hyperlink ref="F7" r:id="rId5" display="https://www.digikey.com/en/products/detail/jst-sales-america-inc/S3B-EH/926534?s=N4IgTCBcDaIMoGYBCBaAogCRAXQL5A" xr:uid="{40289F03-FF51-472A-9B61-0854E911572A}"/>
    <hyperlink ref="F8" r:id="rId6" display="https://www.digikey.com/en/products/detail/comchip-technology/SS34B-HF/12326213?s=N4IgTCBcDaIMpwMwBYBCBaAEgMRAXQF8g" xr:uid="{4E33557B-1D11-4413-BE6D-73CB8DFBC08A}"/>
    <hyperlink ref="F9" r:id="rId7" display="https://www.digikey.com/en/products/detail/johanson-dielectrics-inc/VPDD302W102K1GV001E/21283574?s=N4IgTCBcDaIGoAUAiSDMAGMB1AjJg0jgOJzro4CiIAugL5A" xr:uid="{B7A91A74-6D83-4F17-958A-7B27BB796917}"/>
    <hyperlink ref="F10" r:id="rId8" display="https://www.digikey.com/en/products/detail/sparkfun-electronics/16766/12340136?s=N4IgTCBcDaIIwFYBsAOAtABQEoBU1yQHYkk0A5AEQAIQBdAXyA" xr:uid="{E654E335-5257-4982-B6F7-279704EE2E03}"/>
    <hyperlink ref="F11" r:id="rId9" display="https://www.digikey.com/en/products/detail/jst-sales-america-inc/03HR-4K-P-N/1555744?s=N4IgTCBcDaICwFYEFowE4DMKByAREAugL5A" xr:uid="{762B8951-0BA5-4582-826F-1C3AD4CD2082}"/>
    <hyperlink ref="F12" r:id="rId10" display="https://www.digikey.com/en/products/detail/nichicon/UHE2A470MPD/589404?msockid=0c0f209fa868648435143521a9cb651a" xr:uid="{556819E8-E9FF-4517-B524-362A358BF62C}"/>
    <hyperlink ref="F13" r:id="rId11" display="https://www.digikey.com/en/products/detail/assmann-wsw-components/A-DF-09-A-KG-T4S/1241802?msockid=0c0f209fa868648435143521a9cb651a" xr:uid="{DAD77F91-8730-486C-BB2C-F6A938DDE04A}"/>
    <hyperlink ref="F14" r:id="rId12" display="https://www.digikey.com/en/products/detail/phoenix-contact/1757255/260475?s=N4IgTCBcDaIIwHYCsCxKSAugXyA" xr:uid="{EE394961-6D35-4623-BE6A-3842992C27B9}"/>
    <hyperlink ref="F16" r:id="rId13" display="https://www.digikey.com/en/products/detail/littelfuse-inc/RXEF110/1045810?s=N4IgTCBcDaIEoA0CiAxAjGgDAWgHIBEQBdAXyA" xr:uid="{07483208-FA23-419C-B642-FC0CEB9AA4AD}"/>
    <hyperlink ref="F15" r:id="rId14" display="https://www.digikey.com/en/products/detail/recom-power/REC5A-2405SW-H2/6483546" xr:uid="{B29B9E07-5BCF-4FBA-824D-FA068D0072C6}"/>
    <hyperlink ref="F17" r:id="rId15" display="https://www.digikey.com/en/products/detail/littelfuse-inc/RXEF050-2/5016000" xr:uid="{AF26C99D-2967-43A1-A146-9D4F6B10D614}"/>
    <hyperlink ref="F18" r:id="rId16" display="https://www.digikey.com/en/products/detail/espressif-systems/ESP32-DEVKITC-32E/12091810" xr:uid="{17BF396F-BF3F-49A8-B261-90855315A212}"/>
  </hyperlinks>
  <pageMargins left="0.7" right="0.7" top="0.75" bottom="0.75" header="0.3" footer="0.3"/>
  <pageSetup orientation="portrait" r:id="rId17"/>
  <headerFooter>
    <oddHeader>&amp;CSim Monitor Part List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0EBEB-FEA0-4F52-8FB2-F01FBAF447C9}">
  <dimension ref="A1:G16"/>
  <sheetViews>
    <sheetView tabSelected="1" zoomScale="85" zoomScaleNormal="85" workbookViewId="0">
      <selection activeCell="D17" sqref="D17"/>
    </sheetView>
  </sheetViews>
  <sheetFormatPr defaultRowHeight="15" x14ac:dyDescent="0.25"/>
  <cols>
    <col min="1" max="1" width="45.5703125" bestFit="1" customWidth="1"/>
    <col min="2" max="2" width="38" customWidth="1"/>
    <col min="4" max="4" width="36.5703125" customWidth="1"/>
    <col min="5" max="5" width="23" customWidth="1"/>
    <col min="6" max="6" width="72.140625" bestFit="1" customWidth="1"/>
  </cols>
  <sheetData>
    <row r="1" spans="1:7" x14ac:dyDescent="0.25">
      <c r="A1" s="17" t="s">
        <v>0</v>
      </c>
      <c r="B1" s="17" t="s">
        <v>1</v>
      </c>
      <c r="C1" s="17" t="s">
        <v>2</v>
      </c>
      <c r="D1" s="17" t="s">
        <v>4</v>
      </c>
      <c r="E1" s="17" t="s">
        <v>3</v>
      </c>
      <c r="F1" s="17" t="s">
        <v>5</v>
      </c>
      <c r="G1" s="17" t="s">
        <v>6</v>
      </c>
    </row>
    <row r="2" spans="1:7" x14ac:dyDescent="0.25">
      <c r="A2" t="s">
        <v>62</v>
      </c>
      <c r="B2" t="s">
        <v>63</v>
      </c>
      <c r="C2">
        <v>10</v>
      </c>
      <c r="D2" s="18">
        <v>0.70599999999999996</v>
      </c>
      <c r="E2" s="18">
        <v>7.06</v>
      </c>
      <c r="F2" s="16" t="s">
        <v>64</v>
      </c>
    </row>
    <row r="3" spans="1:7" x14ac:dyDescent="0.25">
      <c r="A3" s="19" t="s">
        <v>66</v>
      </c>
      <c r="B3" t="s">
        <v>65</v>
      </c>
      <c r="C3">
        <v>50</v>
      </c>
      <c r="D3" s="18">
        <v>4.7199999999999999E-2</v>
      </c>
      <c r="E3" s="18">
        <v>2.36</v>
      </c>
      <c r="F3" s="16" t="s">
        <v>67</v>
      </c>
    </row>
    <row r="4" spans="1:7" ht="15.75" x14ac:dyDescent="0.25">
      <c r="A4" s="20" t="s">
        <v>68</v>
      </c>
      <c r="B4" s="15" t="s">
        <v>60</v>
      </c>
      <c r="C4">
        <v>50</v>
      </c>
      <c r="D4" s="21">
        <v>2.7799999999999998E-2</v>
      </c>
      <c r="E4" s="18">
        <v>1.39</v>
      </c>
      <c r="F4" s="16" t="s">
        <v>61</v>
      </c>
    </row>
    <row r="5" spans="1:7" x14ac:dyDescent="0.25">
      <c r="A5" t="s">
        <v>70</v>
      </c>
      <c r="B5" t="s">
        <v>69</v>
      </c>
      <c r="C5">
        <v>10</v>
      </c>
      <c r="D5" s="21">
        <v>9.9000000000000005E-2</v>
      </c>
      <c r="E5" s="18">
        <v>0.99</v>
      </c>
      <c r="F5" s="16" t="s">
        <v>71</v>
      </c>
    </row>
    <row r="6" spans="1:7" ht="30" x14ac:dyDescent="0.25">
      <c r="A6" s="20" t="s">
        <v>73</v>
      </c>
      <c r="B6" t="s">
        <v>74</v>
      </c>
      <c r="C6">
        <v>50</v>
      </c>
      <c r="D6" s="21">
        <v>4.7199999999999999E-2</v>
      </c>
      <c r="E6" s="18">
        <v>2.36</v>
      </c>
      <c r="F6" s="16" t="s">
        <v>72</v>
      </c>
    </row>
    <row r="7" spans="1:7" x14ac:dyDescent="0.25">
      <c r="A7" t="s">
        <v>77</v>
      </c>
      <c r="B7" t="s">
        <v>76</v>
      </c>
      <c r="C7">
        <v>10</v>
      </c>
      <c r="D7" s="18">
        <v>0.121</v>
      </c>
      <c r="E7" s="18">
        <v>1.21</v>
      </c>
      <c r="F7" s="16" t="s">
        <v>75</v>
      </c>
    </row>
    <row r="8" spans="1:7" x14ac:dyDescent="0.25">
      <c r="A8" s="19" t="s">
        <v>78</v>
      </c>
      <c r="B8" s="12">
        <v>860020472003</v>
      </c>
      <c r="C8">
        <v>10</v>
      </c>
      <c r="D8" s="18">
        <v>0.1</v>
      </c>
      <c r="E8" s="1">
        <v>1</v>
      </c>
      <c r="F8" s="16" t="s">
        <v>79</v>
      </c>
    </row>
    <row r="9" spans="1:7" ht="30" x14ac:dyDescent="0.25">
      <c r="A9" s="20" t="s">
        <v>82</v>
      </c>
      <c r="B9" t="s">
        <v>81</v>
      </c>
      <c r="C9">
        <v>10</v>
      </c>
      <c r="D9" s="18">
        <v>0.77200000000000002</v>
      </c>
      <c r="E9" s="18">
        <v>7.72</v>
      </c>
      <c r="F9" s="16" t="s">
        <v>80</v>
      </c>
    </row>
    <row r="10" spans="1:7" x14ac:dyDescent="0.25">
      <c r="A10" s="20" t="s">
        <v>92</v>
      </c>
      <c r="B10" t="s">
        <v>91</v>
      </c>
      <c r="C10">
        <v>10</v>
      </c>
      <c r="D10" s="18">
        <v>2.5920000000000001</v>
      </c>
      <c r="E10" s="18">
        <v>25.92</v>
      </c>
      <c r="F10" s="16" t="s">
        <v>88</v>
      </c>
    </row>
    <row r="11" spans="1:7" x14ac:dyDescent="0.25">
      <c r="A11" s="20" t="s">
        <v>93</v>
      </c>
      <c r="B11" s="20" t="s">
        <v>90</v>
      </c>
      <c r="C11">
        <v>10</v>
      </c>
      <c r="D11" s="21">
        <v>2.2170000000000001</v>
      </c>
      <c r="E11" s="18">
        <v>22.17</v>
      </c>
      <c r="F11" s="16" t="s">
        <v>89</v>
      </c>
    </row>
    <row r="12" spans="1:7" ht="30" x14ac:dyDescent="0.25">
      <c r="A12" s="20" t="s">
        <v>85</v>
      </c>
      <c r="B12">
        <v>1757242</v>
      </c>
      <c r="C12">
        <v>10</v>
      </c>
      <c r="D12" s="18">
        <v>0.82</v>
      </c>
      <c r="E12" s="18">
        <v>5.95</v>
      </c>
      <c r="F12" s="16" t="s">
        <v>84</v>
      </c>
    </row>
    <row r="13" spans="1:7" ht="30" x14ac:dyDescent="0.25">
      <c r="A13" s="20" t="s">
        <v>86</v>
      </c>
      <c r="B13">
        <v>1757019</v>
      </c>
      <c r="C13">
        <v>10</v>
      </c>
      <c r="D13" s="18">
        <v>1.6879999999999999</v>
      </c>
      <c r="E13" s="18">
        <v>16.88</v>
      </c>
      <c r="F13" s="16" t="s">
        <v>87</v>
      </c>
    </row>
    <row r="16" spans="1:7" x14ac:dyDescent="0.25">
      <c r="C16" t="s">
        <v>83</v>
      </c>
      <c r="D16" s="1">
        <f>SUM(D2:D13)</f>
        <v>9.2372000000000014</v>
      </c>
      <c r="E16" s="1">
        <f>SUM(E2:E13)</f>
        <v>95.01</v>
      </c>
    </row>
  </sheetData>
  <hyperlinks>
    <hyperlink ref="F2" r:id="rId1" display="https://www.digikey.com/en/products/detail/texas-instruments/TLV272CDR/1677979" xr:uid="{850EAC35-CDD4-47BB-9BEB-2D1AEA234A7C}"/>
    <hyperlink ref="F3" r:id="rId2" display="https://www.digikey.com/en/products/detail/panasonic-electronic-components/ERJ-P08J105V/525320" xr:uid="{8EC86C26-2A11-49E8-94AD-7AA7B1690C63}"/>
    <hyperlink ref="F4" r:id="rId3" display="https://www.digikey.com/en/products/detail/te-connectivity-passive-product/CRG1206F470R/2381011" xr:uid="{6459184B-D23D-4FA5-9E60-81C56B02B696}"/>
    <hyperlink ref="F5" r:id="rId4" display="https://www.digikey.com/en/products/detail/diotec-semiconductor/BAT46W/13156682" xr:uid="{B3E1D58B-65B5-4E81-904A-F047F3C5F824}"/>
    <hyperlink ref="F6" r:id="rId5" display="https://www.digikey.com/en/products/detail/panasonic-electronic-components/ERJ-P08J334V/525379" xr:uid="{378225A2-8511-4267-8AE1-08C233F3A183}"/>
    <hyperlink ref="F7" r:id="rId6" display="https://www.digikey.com/en/products/detail/panasonic-electronic-components/ECA-1HM100/245037" xr:uid="{FFF8E77C-F7BD-4F0D-A818-357C01E92FD3}"/>
    <hyperlink ref="F8" r:id="rId7" display="https://www.digikey.com/en/products/detail/w%C3%BCrth-elektronik/860020472003/5727057?s=N4IgTCBcDaIOwGYwFoAcqwAZkEZkDkAREAXQF8g" xr:uid="{171ABE66-809F-4DE3-9763-51DD18E371F1}"/>
    <hyperlink ref="F9" r:id="rId8" display="https://www.digikey.com/en/products/detail/rohm-semiconductor/BA7815FP-E2/2357085" xr:uid="{B5BE6700-913D-40ED-9C6B-70D318C56759}"/>
    <hyperlink ref="F12" r:id="rId9" display="https://www.digikey.com/en/products/detail/phoenix-contact/1757242/260474" xr:uid="{D28A5F28-7380-41EA-9D60-30BB37963435}"/>
    <hyperlink ref="F13" r:id="rId10" display="https://www.digikey.com/en/products/detail/phoenix-contact/1757019/260379" xr:uid="{B931D432-ABAA-46C8-A309-80E260546C87}"/>
    <hyperlink ref="F10" r:id="rId11" display="https://www.digikey.com/en/products/detail/hirose-electric-co-ltd/PCN10-20P-2-54DS-72/1036416" xr:uid="{13D9DDA1-6300-4945-A138-76ABEF22BE09}"/>
    <hyperlink ref="F11" r:id="rId12" display="https://www.digikey.com/en/products/detail/hirose-electric-co-ltd/PCN13-20S-2-54DSA-71/1036454" xr:uid="{30A7EFD4-7FB3-44F6-A3DC-A92D16B10F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FlightSafety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Ross, Demetrius</dc:creator>
  <cp:lastModifiedBy>Ross, Demetrius</cp:lastModifiedBy>
  <dcterms:created xsi:type="dcterms:W3CDTF">2025-09-11T05:05:04Z</dcterms:created>
  <dcterms:modified xsi:type="dcterms:W3CDTF">2025-11-06T14:15:29Z</dcterms:modified>
</cp:coreProperties>
</file>